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How to Use" sheetId="1" state="visible" r:id="rId1"/>
    <sheet xmlns:r="http://schemas.openxmlformats.org/officeDocument/2006/relationships" name="🔍 Audit Log" sheetId="2" state="visible" r:id="rId2"/>
    <sheet xmlns:r="http://schemas.openxmlformats.org/officeDocument/2006/relationships" name="📊 Summary" sheetId="3" state="visible" r:id="rId3"/>
    <sheet xmlns:r="http://schemas.openxmlformats.org/officeDocument/2006/relationships" name="🚨 Critical Issues" sheetId="4" state="visible" r:id="rId4"/>
    <sheet xmlns:r="http://schemas.openxmlformats.org/officeDocument/2006/relationships" name="📌 Decision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AECBFA"/>
      <sz val="11"/>
    </font>
    <font>
      <name val="Arial"/>
      <b val="1"/>
      <color rgb="00FFFFFF"/>
      <sz val="10"/>
    </font>
    <font>
      <name val="Arial"/>
      <color rgb="001F2937"/>
      <sz val="10"/>
    </font>
    <font>
      <name val="Arial"/>
      <b val="1"/>
      <color rgb="002D6BE4"/>
      <sz val="10"/>
    </font>
    <font>
      <name val="Arial"/>
      <b val="1"/>
      <color rgb="00991B1B"/>
      <sz val="10"/>
    </font>
    <font>
      <name val="Arial"/>
      <color rgb="00991B1B"/>
      <sz val="10"/>
    </font>
    <font>
      <name val="Arial"/>
      <b val="1"/>
      <color rgb="0092400E"/>
      <sz val="10"/>
    </font>
    <font>
      <name val="Arial"/>
      <color rgb="0092400E"/>
      <sz val="10"/>
    </font>
    <font>
      <name val="Arial"/>
      <b val="1"/>
      <color rgb="0078350F"/>
      <sz val="10"/>
    </font>
    <font>
      <name val="Arial"/>
      <color rgb="0078350F"/>
      <sz val="10"/>
    </font>
    <font>
      <name val="Arial"/>
      <b val="1"/>
      <color rgb="00065F46"/>
      <sz val="10"/>
    </font>
    <font>
      <name val="Arial"/>
      <color rgb="00065F46"/>
      <sz val="10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1F2937"/>
      <sz val="9"/>
    </font>
    <font>
      <name val="Arial"/>
      <color rgb="001F2937"/>
      <sz val="9"/>
    </font>
    <font>
      <name val="Arial"/>
      <i val="1"/>
      <color rgb="001F2937"/>
      <sz val="9"/>
    </font>
    <font>
      <name val="Arial"/>
      <b val="1"/>
      <color rgb="00991B1B"/>
      <sz val="9"/>
    </font>
    <font>
      <name val="Arial"/>
      <b val="1"/>
      <color rgb="00065F46"/>
      <sz val="9"/>
    </font>
    <font>
      <name val="Arial"/>
      <b val="1"/>
      <color rgb="0092400E"/>
      <sz val="9"/>
    </font>
    <font>
      <name val="Arial"/>
      <i val="1"/>
      <color rgb="006B7280"/>
      <sz val="9"/>
    </font>
    <font>
      <name val="Arial"/>
      <color rgb="006B7280"/>
      <sz val="9"/>
    </font>
    <font>
      <name val="Arial"/>
      <b val="1"/>
      <color rgb="00FFFFFF"/>
      <sz val="16"/>
    </font>
    <font>
      <name val="Arial"/>
      <i val="1"/>
      <color rgb="00AECBFA"/>
      <sz val="10"/>
    </font>
    <font>
      <name val="Arial"/>
      <b val="1"/>
      <color rgb="001F2937"/>
      <sz val="10"/>
    </font>
    <font>
      <name val="Arial"/>
      <i val="1"/>
      <color rgb="006B7280"/>
      <sz val="10"/>
    </font>
    <font>
      <name val="Arial"/>
      <i val="1"/>
      <color rgb="00991B1B"/>
      <sz val="10"/>
    </font>
    <font>
      <name val="Arial"/>
      <i val="1"/>
      <color rgb="006B21A8"/>
      <sz val="10"/>
    </font>
    <font>
      <name val="Arial"/>
      <color rgb="006B21A8"/>
      <sz val="9"/>
    </font>
  </fonts>
  <fills count="16">
    <fill>
      <patternFill/>
    </fill>
    <fill>
      <patternFill patternType="gray125"/>
    </fill>
    <fill>
      <patternFill patternType="solid">
        <fgColor rgb="002D6BE4"/>
      </patternFill>
    </fill>
    <fill>
      <patternFill patternType="solid">
        <fgColor rgb="001F2937"/>
      </patternFill>
    </fill>
    <fill>
      <patternFill patternType="solid">
        <fgColor rgb="00F8F9FA"/>
      </patternFill>
    </fill>
    <fill>
      <patternFill patternType="solid">
        <fgColor rgb="00EEF4FF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FFF9C4"/>
      </patternFill>
    </fill>
    <fill>
      <patternFill patternType="solid">
        <fgColor rgb="00D1FAE5"/>
      </patternFill>
    </fill>
    <fill>
      <patternFill patternType="solid">
        <fgColor rgb="006B21A8"/>
      </patternFill>
    </fill>
    <fill>
      <patternFill patternType="solid">
        <fgColor rgb="006B7280"/>
      </patternFill>
    </fill>
    <fill>
      <patternFill patternType="solid">
        <fgColor rgb="00F1F3F5"/>
      </patternFill>
    </fill>
    <fill>
      <patternFill patternType="solid">
        <fgColor rgb="00991B1B"/>
      </patternFill>
    </fill>
    <fill>
      <patternFill patternType="solid">
        <fgColor rgb="00F5F0F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center" vertical="center" wrapText="1"/>
    </xf>
    <xf numFmtId="0" fontId="16" fillId="13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left" vertical="center" wrapText="1"/>
    </xf>
    <xf numFmtId="0" fontId="19" fillId="7" borderId="1" applyAlignment="1" pivotButton="0" quotePrefix="0" xfId="0">
      <alignment horizontal="center" vertical="center" wrapText="1"/>
    </xf>
    <xf numFmtId="0" fontId="20" fillId="10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1" fillId="8" borderId="1" applyAlignment="1" pivotButton="0" quotePrefix="0" xfId="0">
      <alignment horizontal="center" vertical="center" wrapText="1"/>
    </xf>
    <xf numFmtId="0" fontId="23" fillId="4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left" vertical="center" wrapText="1"/>
    </xf>
    <xf numFmtId="0" fontId="22" fillId="4" borderId="1" applyAlignment="1" pivotButton="0" quotePrefix="0" xfId="0">
      <alignment horizontal="center" vertical="center" wrapText="1"/>
    </xf>
    <xf numFmtId="0" fontId="23" fillId="6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center" vertical="center" wrapText="1"/>
    </xf>
    <xf numFmtId="0" fontId="24" fillId="2" borderId="0" applyAlignment="1" pivotButton="0" quotePrefix="0" xfId="0">
      <alignment horizontal="center" vertical="center" wrapText="1"/>
    </xf>
    <xf numFmtId="0" fontId="25" fillId="2" borderId="0" applyAlignment="1" pivotButton="0" quotePrefix="0" xfId="0">
      <alignment horizontal="center" vertical="center" wrapText="1"/>
    </xf>
    <xf numFmtId="0" fontId="26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left" vertical="center" wrapText="1"/>
    </xf>
    <xf numFmtId="0" fontId="26" fillId="6" borderId="1" applyAlignment="1" pivotButton="0" quotePrefix="0" xfId="0">
      <alignment horizontal="left" vertical="center" wrapText="1"/>
    </xf>
    <xf numFmtId="0" fontId="27" fillId="6" borderId="1" applyAlignment="1" pivotButton="0" quotePrefix="0" xfId="0">
      <alignment horizontal="left" vertical="center" wrapText="1"/>
    </xf>
    <xf numFmtId="0" fontId="14" fillId="14" borderId="0" applyAlignment="1" pivotButton="0" quotePrefix="0" xfId="0">
      <alignment horizontal="center" vertical="center" wrapText="1"/>
    </xf>
    <xf numFmtId="0" fontId="28" fillId="7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6" borderId="1" pivotButton="0" quotePrefix="0" xfId="0"/>
    <xf numFmtId="0" fontId="14" fillId="11" borderId="0" applyAlignment="1" pivotButton="0" quotePrefix="0" xfId="0">
      <alignment horizontal="center" vertical="center" wrapText="1"/>
    </xf>
    <xf numFmtId="0" fontId="29" fillId="15" borderId="0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center" vertical="center" wrapText="1"/>
    </xf>
    <xf numFmtId="0" fontId="30" fillId="15" borderId="1" applyAlignment="1" pivotButton="0" quotePrefix="0" xfId="0">
      <alignment horizontal="left" vertical="center" wrapText="1"/>
    </xf>
    <xf numFmtId="0" fontId="22" fillId="15" borderId="1" applyAlignment="1" pivotButton="0" quotePrefix="0" xfId="0">
      <alignment horizontal="left" vertical="center" wrapText="1"/>
    </xf>
    <xf numFmtId="0" fontId="17" fillId="15" borderId="1" applyAlignment="1" pivotButton="0" quotePrefix="0" xfId="0">
      <alignment horizontal="left" vertical="center" wrapText="1"/>
    </xf>
    <xf numFmtId="0" fontId="17" fillId="15" borderId="1" applyAlignment="1" pivotButton="0" quotePrefix="0" xfId="0">
      <alignment horizontal="center" vertical="center" wrapText="1"/>
    </xf>
    <xf numFmtId="0" fontId="3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55" customWidth="1" min="3" max="3"/>
    <col width="22" customWidth="1" min="4" max="4"/>
  </cols>
  <sheetData>
    <row r="1" ht="8" customHeight="1"/>
    <row r="2" ht="50" customHeight="1">
      <c r="B2" s="1" t="inlineStr">
        <is>
          <t>⬡  AI UX AUDIT FRAMEWORK</t>
        </is>
      </c>
    </row>
    <row r="3" ht="28" customHeight="1">
      <c r="B3" s="2" t="inlineStr">
        <is>
          <t>A structured tool for auditing AI experiences across your product suite</t>
        </is>
      </c>
    </row>
    <row r="4" ht="12" customHeight="1"/>
    <row r="5" ht="24" customHeight="1">
      <c r="B5" s="3" t="inlineStr">
        <is>
          <t>WHAT IS THIS?</t>
        </is>
      </c>
    </row>
    <row r="6" ht="20" customHeight="1">
      <c r="B6" s="4" t="inlineStr">
        <is>
          <t>This workbook helps you audit how AI is being used across all your products. Use it to find inconsistencies, identify patterns, and build the evidence base for a shared AI UX pattern library. Fill in one row per AI touchpoint you find.</t>
        </is>
      </c>
    </row>
    <row r="7" ht="20" customHeight="1"/>
    <row r="8" ht="20" customHeight="1"/>
    <row r="9" ht="12" customHeight="1"/>
    <row r="10" ht="24" customHeight="1">
      <c r="B10" s="3" t="inlineStr">
        <is>
          <t>HOW TO RUN THE AUDIT — 5 STEPS</t>
        </is>
      </c>
    </row>
    <row r="11" ht="36" customHeight="1">
      <c r="B11" s="5" t="inlineStr">
        <is>
          <t>Step 1</t>
        </is>
      </c>
      <c r="C11" s="6" t="inlineStr">
        <is>
          <t>Go through each of your 30 products and find every AI touchpoint — chatbots, suggestions, summaries, auto-fills, agents, alerts.</t>
        </is>
      </c>
    </row>
    <row r="12" ht="36" customHeight="1">
      <c r="B12" s="7" t="inlineStr">
        <is>
          <t>Step 2</t>
        </is>
      </c>
      <c r="C12" s="8" t="inlineStr">
        <is>
          <t>Take a screenshot of each one. Store them in a shared folder organized by product.</t>
        </is>
      </c>
    </row>
    <row r="13" ht="36" customHeight="1">
      <c r="B13" s="5" t="inlineStr">
        <is>
          <t>Step 3</t>
        </is>
      </c>
      <c r="C13" s="6" t="inlineStr">
        <is>
          <t>For each touchpoint, fill in one row in the "🔍 Audit Log" sheet. Be specific — the more detail, the better.</t>
        </is>
      </c>
    </row>
    <row r="14" ht="36" customHeight="1">
      <c r="B14" s="7" t="inlineStr">
        <is>
          <t>Step 4</t>
        </is>
      </c>
      <c r="C14" s="8" t="inlineStr">
        <is>
          <t>Check the "📊 Summary" sheet. It will automatically calculate your consistency scores.</t>
        </is>
      </c>
    </row>
    <row r="15" ht="36" customHeight="1">
      <c r="B15" s="5" t="inlineStr">
        <is>
          <t>Step 5</t>
        </is>
      </c>
      <c r="C15" s="6" t="inlineStr">
        <is>
          <t>Use the "🚨 Critical Issues" sheet to prioritize what to fix first and bring to your working group.</t>
        </is>
      </c>
    </row>
    <row r="16" ht="12" customHeight="1"/>
    <row r="17" ht="24" customHeight="1">
      <c r="B17" s="3" t="inlineStr">
        <is>
          <t>THE 8 AI INTERACTION MODES — QUICK REFERENCE</t>
        </is>
      </c>
    </row>
    <row r="18" ht="28" customHeight="1">
      <c r="B18" s="5" t="inlineStr">
        <is>
          <t>Ask</t>
        </is>
      </c>
      <c r="C18" s="6" t="inlineStr">
        <is>
          <t>AI asks the user for input before it can proceed</t>
        </is>
      </c>
    </row>
    <row r="19" ht="28" customHeight="1">
      <c r="B19" s="7" t="inlineStr">
        <is>
          <t>Suggest</t>
        </is>
      </c>
      <c r="C19" s="8" t="inlineStr">
        <is>
          <t>AI offers something — user accepts or ignores</t>
        </is>
      </c>
    </row>
    <row r="20" ht="28" customHeight="1">
      <c r="B20" s="5" t="inlineStr">
        <is>
          <t>Recommend</t>
        </is>
      </c>
      <c r="C20" s="6" t="inlineStr">
        <is>
          <t>AI delivers a considered output — user evaluates and decides</t>
        </is>
      </c>
    </row>
    <row r="21" ht="28" customHeight="1">
      <c r="B21" s="7" t="inlineStr">
        <is>
          <t>Assist</t>
        </is>
      </c>
      <c r="C21" s="8" t="inlineStr">
        <is>
          <t>AI works alongside the user in real time</t>
        </is>
      </c>
    </row>
    <row r="22" ht="28" customHeight="1">
      <c r="B22" s="5" t="inlineStr">
        <is>
          <t>Evaluate</t>
        </is>
      </c>
      <c r="C22" s="6" t="inlineStr">
        <is>
          <t>AI reviews something the user created and gives feedback</t>
        </is>
      </c>
    </row>
    <row r="23" ht="28" customHeight="1">
      <c r="B23" s="7" t="inlineStr">
        <is>
          <t>Act</t>
        </is>
      </c>
      <c r="C23" s="8" t="inlineStr">
        <is>
          <t>AI performs a single action on the user's behalf</t>
        </is>
      </c>
    </row>
    <row r="24" ht="28" customHeight="1">
      <c r="B24" s="5" t="inlineStr">
        <is>
          <t>Monitor</t>
        </is>
      </c>
      <c r="C24" s="6" t="inlineStr">
        <is>
          <t>AI watches passively and alerts when attention is needed</t>
        </is>
      </c>
    </row>
    <row r="25" ht="28" customHeight="1">
      <c r="B25" s="7" t="inlineStr">
        <is>
          <t>Agent</t>
        </is>
      </c>
      <c r="C25" s="8" t="inlineStr">
        <is>
          <t>AI performs a chain of actions autonomously over time</t>
        </is>
      </c>
    </row>
    <row r="26" ht="12" customHeight="1"/>
    <row r="27" ht="24" customHeight="1">
      <c r="B27" s="3" t="inlineStr">
        <is>
          <t>SEVERITY SCORING GUIDE</t>
        </is>
      </c>
    </row>
    <row r="28" ht="28" customHeight="1">
      <c r="B28" s="9" t="inlineStr">
        <is>
          <t>🔴  Critical</t>
        </is>
      </c>
      <c r="C28" s="10" t="inlineStr">
        <is>
          <t>Directly harms user trust or causes errors. Fix immediately.</t>
        </is>
      </c>
    </row>
    <row r="29" ht="28" customHeight="1">
      <c r="B29" s="11" t="inlineStr">
        <is>
          <t>🟠  High</t>
        </is>
      </c>
      <c r="C29" s="12" t="inlineStr">
        <is>
          <t>Significant inconsistency visible to users. Fix in next sprint.</t>
        </is>
      </c>
    </row>
    <row r="30" ht="28" customHeight="1">
      <c r="B30" s="13" t="inlineStr">
        <is>
          <t>🟡  Medium</t>
        </is>
      </c>
      <c r="C30" s="14" t="inlineStr">
        <is>
          <t>Noticeable inconsistency but not blocking. Fix in next quarter.</t>
        </is>
      </c>
    </row>
    <row r="31" ht="28" customHeight="1">
      <c r="B31" s="15" t="inlineStr">
        <is>
          <t>🟢  Low</t>
        </is>
      </c>
      <c r="C31" s="16" t="inlineStr">
        <is>
          <t>Minor inconsistency. Add to backlog.</t>
        </is>
      </c>
    </row>
  </sheetData>
  <mergeCells count="24">
    <mergeCell ref="C24:D24"/>
    <mergeCell ref="C30:D30"/>
    <mergeCell ref="C15:D15"/>
    <mergeCell ref="B17:D17"/>
    <mergeCell ref="C14:D14"/>
    <mergeCell ref="B10:D10"/>
    <mergeCell ref="C20:D20"/>
    <mergeCell ref="C29:D29"/>
    <mergeCell ref="B6:D8"/>
    <mergeCell ref="C25:D25"/>
    <mergeCell ref="C22:D22"/>
    <mergeCell ref="C31:D31"/>
    <mergeCell ref="C12:D12"/>
    <mergeCell ref="B5:D5"/>
    <mergeCell ref="C21:D21"/>
    <mergeCell ref="C11:D11"/>
    <mergeCell ref="C23:D23"/>
    <mergeCell ref="B3:D3"/>
    <mergeCell ref="C19:D19"/>
    <mergeCell ref="B27:D27"/>
    <mergeCell ref="C28:D28"/>
    <mergeCell ref="C13:D13"/>
    <mergeCell ref="C18:D18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18" customWidth="1" min="4" max="4"/>
    <col width="28" customWidth="1" min="5" max="5"/>
    <col width="16" customWidth="1" min="6" max="6"/>
    <col width="18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4" customWidth="1" min="14" max="14"/>
    <col width="35" customWidth="1" min="15" max="15"/>
    <col width="18" customWidth="1" min="16" max="16"/>
    <col width="18" customWidth="1" min="17" max="17"/>
    <col width="14" customWidth="1" min="18" max="18"/>
  </cols>
  <sheetData>
    <row r="1" ht="36" customHeight="1">
      <c r="A1" s="17" t="inlineStr">
        <is>
          <t>🔍  AI UX AUDIT LOG — Fill in one row per AI touchpoint found</t>
        </is>
      </c>
    </row>
    <row r="2" ht="22" customHeight="1">
      <c r="A2" s="18" t="inlineStr">
        <is>
          <t>#</t>
        </is>
      </c>
      <c r="B2" s="18" t="inlineStr">
        <is>
          <t>PRODUCT INFO</t>
        </is>
      </c>
      <c r="D2" s="19" t="inlineStr">
        <is>
          <t>AI BEHAVIOUR</t>
        </is>
      </c>
      <c r="F2" s="20" t="inlineStr">
        <is>
          <t>PATTERN CHECKLIST — Does this touchpoint have...?</t>
        </is>
      </c>
      <c r="N2" s="18" t="inlineStr">
        <is>
          <t>ASSESSMENT</t>
        </is>
      </c>
      <c r="P2" s="21" t="inlineStr">
        <is>
          <t>ADMIN</t>
        </is>
      </c>
    </row>
    <row r="3" ht="40" customHeight="1">
      <c r="A3" s="22" t="inlineStr">
        <is>
          <t>#</t>
        </is>
      </c>
      <c r="B3" s="22" t="inlineStr">
        <is>
          <t>Product Name</t>
        </is>
      </c>
      <c r="C3" s="22" t="inlineStr">
        <is>
          <t>Feature / Screen</t>
        </is>
      </c>
      <c r="D3" s="22" t="inlineStr">
        <is>
          <t>AI Mode</t>
        </is>
      </c>
      <c r="E3" s="22" t="inlineStr">
        <is>
          <t>What Does AI Do Here?</t>
        </is>
      </c>
      <c r="F3" s="22" t="inlineStr">
        <is>
          <t>AI Labeled?</t>
        </is>
      </c>
      <c r="G3" s="22" t="inlineStr">
        <is>
          <t>Label Text Used</t>
        </is>
      </c>
      <c r="H3" s="22" t="inlineStr">
        <is>
          <t>Confidence Shown?</t>
        </is>
      </c>
      <c r="I3" s="22" t="inlineStr">
        <is>
          <t>Source Cited?</t>
        </is>
      </c>
      <c r="J3" s="22" t="inlineStr">
        <is>
          <t>User Can Correct?</t>
        </is>
      </c>
      <c r="K3" s="22" t="inlineStr">
        <is>
          <t>Loading State?</t>
        </is>
      </c>
      <c r="L3" s="22" t="inlineStr">
        <is>
          <t>Error State?</t>
        </is>
      </c>
      <c r="M3" s="22" t="inlineStr">
        <is>
          <t>Accessible?</t>
        </is>
      </c>
      <c r="N3" s="22" t="inlineStr">
        <is>
          <t>Severity</t>
        </is>
      </c>
      <c r="O3" s="22" t="inlineStr">
        <is>
          <t>Issues Found / Notes</t>
        </is>
      </c>
      <c r="P3" s="22" t="inlineStr">
        <is>
          <t>Screenshot Ref</t>
        </is>
      </c>
      <c r="Q3" s="22" t="inlineStr">
        <is>
          <t>Auditor</t>
        </is>
      </c>
      <c r="R3" s="22" t="inlineStr">
        <is>
          <t>Date</t>
        </is>
      </c>
    </row>
    <row r="4" ht="40" customHeight="1">
      <c r="A4" s="23" t="n">
        <v>1</v>
      </c>
      <c r="B4" s="24" t="inlineStr">
        <is>
          <t>Procurement Tool</t>
        </is>
      </c>
      <c r="C4" s="24" t="inlineStr">
        <is>
          <t>PO Approval Screen</t>
        </is>
      </c>
      <c r="D4" s="25" t="inlineStr">
        <is>
          <t>Recommend</t>
        </is>
      </c>
      <c r="E4" s="26" t="inlineStr">
        <is>
          <t>AI summarises PO details and recommends approval or rejection</t>
        </is>
      </c>
      <c r="F4" s="27" t="inlineStr">
        <is>
          <t>No</t>
        </is>
      </c>
      <c r="G4" s="24" t="inlineStr">
        <is>
          <t>—</t>
        </is>
      </c>
      <c r="H4" s="27" t="inlineStr">
        <is>
          <t>No</t>
        </is>
      </c>
      <c r="I4" s="27" t="inlineStr">
        <is>
          <t>No</t>
        </is>
      </c>
      <c r="J4" s="27" t="inlineStr">
        <is>
          <t>No</t>
        </is>
      </c>
      <c r="K4" s="28" t="inlineStr">
        <is>
          <t>Yes</t>
        </is>
      </c>
      <c r="L4" s="27" t="inlineStr">
        <is>
          <t>No</t>
        </is>
      </c>
      <c r="M4" s="27" t="inlineStr">
        <is>
          <t>No</t>
        </is>
      </c>
      <c r="N4" s="27" t="inlineStr">
        <is>
          <t>🔴 Critical</t>
        </is>
      </c>
      <c r="O4" s="26" t="inlineStr">
        <is>
          <t>No AI label — users do not know output is AI generated. No confidence signal. No user correction mechanism.</t>
        </is>
      </c>
      <c r="P4" s="24" t="inlineStr">
        <is>
          <t>screenshot_01.png</t>
        </is>
      </c>
      <c r="Q4" s="25" t="inlineStr">
        <is>
          <t>Your Name</t>
        </is>
      </c>
      <c r="R4" s="25" t="inlineStr">
        <is>
          <t>2026-03-11</t>
        </is>
      </c>
    </row>
    <row r="5" ht="40" customHeight="1">
      <c r="A5" s="29" t="n">
        <v>2</v>
      </c>
      <c r="B5" s="30" t="inlineStr">
        <is>
          <t>Invoice Processing</t>
        </is>
      </c>
      <c r="C5" s="30" t="inlineStr">
        <is>
          <t>Invoice List View</t>
        </is>
      </c>
      <c r="D5" s="31" t="inlineStr">
        <is>
          <t>Suggest</t>
        </is>
      </c>
      <c r="E5" s="32" t="inlineStr">
        <is>
          <t>AI pre-fills vendor category based on invoice history</t>
        </is>
      </c>
      <c r="F5" s="33" t="inlineStr">
        <is>
          <t>Partial</t>
        </is>
      </c>
      <c r="G5" s="30" t="inlineStr">
        <is>
          <t>"AI suggestion"</t>
        </is>
      </c>
      <c r="H5" s="27" t="inlineStr">
        <is>
          <t>No</t>
        </is>
      </c>
      <c r="I5" s="27" t="inlineStr">
        <is>
          <t>No</t>
        </is>
      </c>
      <c r="J5" s="28" t="inlineStr">
        <is>
          <t>Yes</t>
        </is>
      </c>
      <c r="K5" s="27" t="inlineStr">
        <is>
          <t>No</t>
        </is>
      </c>
      <c r="L5" s="27" t="inlineStr">
        <is>
          <t>No</t>
        </is>
      </c>
      <c r="M5" s="33" t="inlineStr">
        <is>
          <t>Partial</t>
        </is>
      </c>
      <c r="N5" s="33" t="inlineStr">
        <is>
          <t>🟠 High</t>
        </is>
      </c>
      <c r="O5" s="32" t="inlineStr">
        <is>
          <t>Label text is inconsistent with other products. No loading state when AI is processing. Tab-to-accept works but not documented.</t>
        </is>
      </c>
      <c r="P5" s="30" t="inlineStr">
        <is>
          <t>screenshot_02.png</t>
        </is>
      </c>
      <c r="Q5" s="31" t="inlineStr">
        <is>
          <t>Your Name</t>
        </is>
      </c>
      <c r="R5" s="31" t="inlineStr">
        <is>
          <t>2026-03-11</t>
        </is>
      </c>
    </row>
    <row r="6" ht="40" customHeight="1">
      <c r="A6" s="23" t="n">
        <v>3</v>
      </c>
      <c r="B6" s="24" t="inlineStr">
        <is>
          <t>HR Portal</t>
        </is>
      </c>
      <c r="C6" s="24" t="inlineStr">
        <is>
          <t>Employee Search</t>
        </is>
      </c>
      <c r="D6" s="25" t="inlineStr">
        <is>
          <t>Ask</t>
        </is>
      </c>
      <c r="E6" s="26" t="inlineStr">
        <is>
          <t>AI chatbot answers HR policy questions</t>
        </is>
      </c>
      <c r="F6" s="28" t="inlineStr">
        <is>
          <t>Yes</t>
        </is>
      </c>
      <c r="G6" s="24" t="inlineStr">
        <is>
          <t>"Powered by AI"</t>
        </is>
      </c>
      <c r="H6" s="27" t="inlineStr">
        <is>
          <t>No</t>
        </is>
      </c>
      <c r="I6" s="28" t="inlineStr">
        <is>
          <t>Yes</t>
        </is>
      </c>
      <c r="J6" s="28" t="inlineStr">
        <is>
          <t>Yes</t>
        </is>
      </c>
      <c r="K6" s="28" t="inlineStr">
        <is>
          <t>Yes</t>
        </is>
      </c>
      <c r="L6" s="28" t="inlineStr">
        <is>
          <t>Yes</t>
        </is>
      </c>
      <c r="M6" s="28" t="inlineStr">
        <is>
          <t>Yes</t>
        </is>
      </c>
      <c r="N6" s="28" t="inlineStr">
        <is>
          <t>🟢 Low</t>
        </is>
      </c>
      <c r="O6" s="26" t="inlineStr">
        <is>
          <t>Well implemented. Source attribution links to policy docs. Consider adding confidence indicator for ambiguous queries.</t>
        </is>
      </c>
      <c r="P6" s="24" t="inlineStr">
        <is>
          <t>screenshot_03.png</t>
        </is>
      </c>
      <c r="Q6" s="25" t="inlineStr">
        <is>
          <t>Your Name</t>
        </is>
      </c>
      <c r="R6" s="25" t="inlineStr">
        <is>
          <t>2026-03-11</t>
        </is>
      </c>
    </row>
    <row r="7" ht="36" customHeight="1">
      <c r="A7" s="34">
        <f>4</f>
        <v/>
      </c>
      <c r="B7" s="35" t="n"/>
      <c r="C7" s="35" t="n"/>
      <c r="D7" s="36" t="n"/>
      <c r="E7" s="35" t="n"/>
      <c r="F7" s="36" t="n"/>
      <c r="G7" s="35" t="n"/>
      <c r="H7" s="36" t="n"/>
      <c r="I7" s="36" t="n"/>
      <c r="J7" s="36" t="n"/>
      <c r="K7" s="36" t="n"/>
      <c r="L7" s="36" t="n"/>
      <c r="M7" s="36" t="n"/>
      <c r="N7" s="36" t="n"/>
      <c r="O7" s="35" t="n"/>
      <c r="P7" s="35" t="n"/>
      <c r="Q7" s="36" t="n"/>
      <c r="R7" s="36" t="n"/>
    </row>
    <row r="8" ht="36" customHeight="1">
      <c r="A8" s="37">
        <f>5</f>
        <v/>
      </c>
      <c r="B8" s="38" t="n"/>
      <c r="C8" s="38" t="n"/>
      <c r="D8" s="39" t="n"/>
      <c r="E8" s="38" t="n"/>
      <c r="F8" s="39" t="n"/>
      <c r="G8" s="38" t="n"/>
      <c r="H8" s="39" t="n"/>
      <c r="I8" s="39" t="n"/>
      <c r="J8" s="39" t="n"/>
      <c r="K8" s="39" t="n"/>
      <c r="L8" s="39" t="n"/>
      <c r="M8" s="39" t="n"/>
      <c r="N8" s="39" t="n"/>
      <c r="O8" s="38" t="n"/>
      <c r="P8" s="38" t="n"/>
      <c r="Q8" s="39" t="n"/>
      <c r="R8" s="39" t="n"/>
    </row>
    <row r="9" ht="36" customHeight="1">
      <c r="A9" s="34">
        <f>6</f>
        <v/>
      </c>
      <c r="B9" s="35" t="n"/>
      <c r="C9" s="35" t="n"/>
      <c r="D9" s="36" t="n"/>
      <c r="E9" s="35" t="n"/>
      <c r="F9" s="36" t="n"/>
      <c r="G9" s="35" t="n"/>
      <c r="H9" s="36" t="n"/>
      <c r="I9" s="36" t="n"/>
      <c r="J9" s="36" t="n"/>
      <c r="K9" s="36" t="n"/>
      <c r="L9" s="36" t="n"/>
      <c r="M9" s="36" t="n"/>
      <c r="N9" s="36" t="n"/>
      <c r="O9" s="35" t="n"/>
      <c r="P9" s="35" t="n"/>
      <c r="Q9" s="36" t="n"/>
      <c r="R9" s="36" t="n"/>
    </row>
    <row r="10" ht="36" customHeight="1">
      <c r="A10" s="37">
        <f>7</f>
        <v/>
      </c>
      <c r="B10" s="38" t="n"/>
      <c r="C10" s="38" t="n"/>
      <c r="D10" s="39" t="n"/>
      <c r="E10" s="38" t="n"/>
      <c r="F10" s="39" t="n"/>
      <c r="G10" s="38" t="n"/>
      <c r="H10" s="39" t="n"/>
      <c r="I10" s="39" t="n"/>
      <c r="J10" s="39" t="n"/>
      <c r="K10" s="39" t="n"/>
      <c r="L10" s="39" t="n"/>
      <c r="M10" s="39" t="n"/>
      <c r="N10" s="39" t="n"/>
      <c r="O10" s="38" t="n"/>
      <c r="P10" s="38" t="n"/>
      <c r="Q10" s="39" t="n"/>
      <c r="R10" s="39" t="n"/>
    </row>
    <row r="11" ht="36" customHeight="1">
      <c r="A11" s="34">
        <f>8</f>
        <v/>
      </c>
      <c r="B11" s="35" t="n"/>
      <c r="C11" s="35" t="n"/>
      <c r="D11" s="36" t="n"/>
      <c r="E11" s="35" t="n"/>
      <c r="F11" s="36" t="n"/>
      <c r="G11" s="35" t="n"/>
      <c r="H11" s="36" t="n"/>
      <c r="I11" s="36" t="n"/>
      <c r="J11" s="36" t="n"/>
      <c r="K11" s="36" t="n"/>
      <c r="L11" s="36" t="n"/>
      <c r="M11" s="36" t="n"/>
      <c r="N11" s="36" t="n"/>
      <c r="O11" s="35" t="n"/>
      <c r="P11" s="35" t="n"/>
      <c r="Q11" s="36" t="n"/>
      <c r="R11" s="36" t="n"/>
    </row>
    <row r="12" ht="36" customHeight="1">
      <c r="A12" s="37">
        <f>9</f>
        <v/>
      </c>
      <c r="B12" s="38" t="n"/>
      <c r="C12" s="38" t="n"/>
      <c r="D12" s="39" t="n"/>
      <c r="E12" s="38" t="n"/>
      <c r="F12" s="39" t="n"/>
      <c r="G12" s="38" t="n"/>
      <c r="H12" s="39" t="n"/>
      <c r="I12" s="39" t="n"/>
      <c r="J12" s="39" t="n"/>
      <c r="K12" s="39" t="n"/>
      <c r="L12" s="39" t="n"/>
      <c r="M12" s="39" t="n"/>
      <c r="N12" s="39" t="n"/>
      <c r="O12" s="38" t="n"/>
      <c r="P12" s="38" t="n"/>
      <c r="Q12" s="39" t="n"/>
      <c r="R12" s="39" t="n"/>
    </row>
    <row r="13" ht="36" customHeight="1">
      <c r="A13" s="34">
        <f>10</f>
        <v/>
      </c>
      <c r="B13" s="35" t="n"/>
      <c r="C13" s="35" t="n"/>
      <c r="D13" s="36" t="n"/>
      <c r="E13" s="35" t="n"/>
      <c r="F13" s="36" t="n"/>
      <c r="G13" s="35" t="n"/>
      <c r="H13" s="36" t="n"/>
      <c r="I13" s="36" t="n"/>
      <c r="J13" s="36" t="n"/>
      <c r="K13" s="36" t="n"/>
      <c r="L13" s="36" t="n"/>
      <c r="M13" s="36" t="n"/>
      <c r="N13" s="36" t="n"/>
      <c r="O13" s="35" t="n"/>
      <c r="P13" s="35" t="n"/>
      <c r="Q13" s="36" t="n"/>
      <c r="R13" s="36" t="n"/>
    </row>
    <row r="14" ht="36" customHeight="1">
      <c r="A14" s="37">
        <f>11</f>
        <v/>
      </c>
      <c r="B14" s="38" t="n"/>
      <c r="C14" s="38" t="n"/>
      <c r="D14" s="39" t="n"/>
      <c r="E14" s="38" t="n"/>
      <c r="F14" s="39" t="n"/>
      <c r="G14" s="38" t="n"/>
      <c r="H14" s="39" t="n"/>
      <c r="I14" s="39" t="n"/>
      <c r="J14" s="39" t="n"/>
      <c r="K14" s="39" t="n"/>
      <c r="L14" s="39" t="n"/>
      <c r="M14" s="39" t="n"/>
      <c r="N14" s="39" t="n"/>
      <c r="O14" s="38" t="n"/>
      <c r="P14" s="38" t="n"/>
      <c r="Q14" s="39" t="n"/>
      <c r="R14" s="39" t="n"/>
    </row>
    <row r="15" ht="36" customHeight="1">
      <c r="A15" s="34">
        <f>12</f>
        <v/>
      </c>
      <c r="B15" s="35" t="n"/>
      <c r="C15" s="35" t="n"/>
      <c r="D15" s="36" t="n"/>
      <c r="E15" s="35" t="n"/>
      <c r="F15" s="36" t="n"/>
      <c r="G15" s="35" t="n"/>
      <c r="H15" s="36" t="n"/>
      <c r="I15" s="36" t="n"/>
      <c r="J15" s="36" t="n"/>
      <c r="K15" s="36" t="n"/>
      <c r="L15" s="36" t="n"/>
      <c r="M15" s="36" t="n"/>
      <c r="N15" s="36" t="n"/>
      <c r="O15" s="35" t="n"/>
      <c r="P15" s="35" t="n"/>
      <c r="Q15" s="36" t="n"/>
      <c r="R15" s="36" t="n"/>
    </row>
    <row r="16" ht="36" customHeight="1">
      <c r="A16" s="37">
        <f>13</f>
        <v/>
      </c>
      <c r="B16" s="38" t="n"/>
      <c r="C16" s="38" t="n"/>
      <c r="D16" s="39" t="n"/>
      <c r="E16" s="38" t="n"/>
      <c r="F16" s="39" t="n"/>
      <c r="G16" s="38" t="n"/>
      <c r="H16" s="39" t="n"/>
      <c r="I16" s="39" t="n"/>
      <c r="J16" s="39" t="n"/>
      <c r="K16" s="39" t="n"/>
      <c r="L16" s="39" t="n"/>
      <c r="M16" s="39" t="n"/>
      <c r="N16" s="39" t="n"/>
      <c r="O16" s="38" t="n"/>
      <c r="P16" s="38" t="n"/>
      <c r="Q16" s="39" t="n"/>
      <c r="R16" s="39" t="n"/>
    </row>
    <row r="17" ht="36" customHeight="1">
      <c r="A17" s="34">
        <f>14</f>
        <v/>
      </c>
      <c r="B17" s="35" t="n"/>
      <c r="C17" s="35" t="n"/>
      <c r="D17" s="36" t="n"/>
      <c r="E17" s="35" t="n"/>
      <c r="F17" s="36" t="n"/>
      <c r="G17" s="35" t="n"/>
      <c r="H17" s="36" t="n"/>
      <c r="I17" s="36" t="n"/>
      <c r="J17" s="36" t="n"/>
      <c r="K17" s="36" t="n"/>
      <c r="L17" s="36" t="n"/>
      <c r="M17" s="36" t="n"/>
      <c r="N17" s="36" t="n"/>
      <c r="O17" s="35" t="n"/>
      <c r="P17" s="35" t="n"/>
      <c r="Q17" s="36" t="n"/>
      <c r="R17" s="36" t="n"/>
    </row>
    <row r="18" ht="36" customHeight="1">
      <c r="A18" s="37">
        <f>15</f>
        <v/>
      </c>
      <c r="B18" s="38" t="n"/>
      <c r="C18" s="38" t="n"/>
      <c r="D18" s="39" t="n"/>
      <c r="E18" s="38" t="n"/>
      <c r="F18" s="39" t="n"/>
      <c r="G18" s="38" t="n"/>
      <c r="H18" s="39" t="n"/>
      <c r="I18" s="39" t="n"/>
      <c r="J18" s="39" t="n"/>
      <c r="K18" s="39" t="n"/>
      <c r="L18" s="39" t="n"/>
      <c r="M18" s="39" t="n"/>
      <c r="N18" s="39" t="n"/>
      <c r="O18" s="38" t="n"/>
      <c r="P18" s="38" t="n"/>
      <c r="Q18" s="39" t="n"/>
      <c r="R18" s="39" t="n"/>
    </row>
    <row r="19" ht="36" customHeight="1">
      <c r="A19" s="34">
        <f>16</f>
        <v/>
      </c>
      <c r="B19" s="35" t="n"/>
      <c r="C19" s="35" t="n"/>
      <c r="D19" s="36" t="n"/>
      <c r="E19" s="35" t="n"/>
      <c r="F19" s="36" t="n"/>
      <c r="G19" s="35" t="n"/>
      <c r="H19" s="36" t="n"/>
      <c r="I19" s="36" t="n"/>
      <c r="J19" s="36" t="n"/>
      <c r="K19" s="36" t="n"/>
      <c r="L19" s="36" t="n"/>
      <c r="M19" s="36" t="n"/>
      <c r="N19" s="36" t="n"/>
      <c r="O19" s="35" t="n"/>
      <c r="P19" s="35" t="n"/>
      <c r="Q19" s="36" t="n"/>
      <c r="R19" s="36" t="n"/>
    </row>
    <row r="20" ht="36" customHeight="1">
      <c r="A20" s="37">
        <f>17</f>
        <v/>
      </c>
      <c r="B20" s="38" t="n"/>
      <c r="C20" s="38" t="n"/>
      <c r="D20" s="39" t="n"/>
      <c r="E20" s="38" t="n"/>
      <c r="F20" s="39" t="n"/>
      <c r="G20" s="38" t="n"/>
      <c r="H20" s="39" t="n"/>
      <c r="I20" s="39" t="n"/>
      <c r="J20" s="39" t="n"/>
      <c r="K20" s="39" t="n"/>
      <c r="L20" s="39" t="n"/>
      <c r="M20" s="39" t="n"/>
      <c r="N20" s="39" t="n"/>
      <c r="O20" s="38" t="n"/>
      <c r="P20" s="38" t="n"/>
      <c r="Q20" s="39" t="n"/>
      <c r="R20" s="39" t="n"/>
    </row>
    <row r="21" ht="36" customHeight="1">
      <c r="A21" s="34">
        <f>18</f>
        <v/>
      </c>
      <c r="B21" s="35" t="n"/>
      <c r="C21" s="35" t="n"/>
      <c r="D21" s="36" t="n"/>
      <c r="E21" s="35" t="n"/>
      <c r="F21" s="36" t="n"/>
      <c r="G21" s="35" t="n"/>
      <c r="H21" s="36" t="n"/>
      <c r="I21" s="36" t="n"/>
      <c r="J21" s="36" t="n"/>
      <c r="K21" s="36" t="n"/>
      <c r="L21" s="36" t="n"/>
      <c r="M21" s="36" t="n"/>
      <c r="N21" s="36" t="n"/>
      <c r="O21" s="35" t="n"/>
      <c r="P21" s="35" t="n"/>
      <c r="Q21" s="36" t="n"/>
      <c r="R21" s="36" t="n"/>
    </row>
    <row r="22" ht="36" customHeight="1">
      <c r="A22" s="37">
        <f>19</f>
        <v/>
      </c>
      <c r="B22" s="38" t="n"/>
      <c r="C22" s="38" t="n"/>
      <c r="D22" s="39" t="n"/>
      <c r="E22" s="38" t="n"/>
      <c r="F22" s="39" t="n"/>
      <c r="G22" s="38" t="n"/>
      <c r="H22" s="39" t="n"/>
      <c r="I22" s="39" t="n"/>
      <c r="J22" s="39" t="n"/>
      <c r="K22" s="39" t="n"/>
      <c r="L22" s="39" t="n"/>
      <c r="M22" s="39" t="n"/>
      <c r="N22" s="39" t="n"/>
      <c r="O22" s="38" t="n"/>
      <c r="P22" s="38" t="n"/>
      <c r="Q22" s="39" t="n"/>
      <c r="R22" s="39" t="n"/>
    </row>
    <row r="23" ht="36" customHeight="1">
      <c r="A23" s="34">
        <f>20</f>
        <v/>
      </c>
      <c r="B23" s="35" t="n"/>
      <c r="C23" s="35" t="n"/>
      <c r="D23" s="36" t="n"/>
      <c r="E23" s="35" t="n"/>
      <c r="F23" s="36" t="n"/>
      <c r="G23" s="35" t="n"/>
      <c r="H23" s="36" t="n"/>
      <c r="I23" s="36" t="n"/>
      <c r="J23" s="36" t="n"/>
      <c r="K23" s="36" t="n"/>
      <c r="L23" s="36" t="n"/>
      <c r="M23" s="36" t="n"/>
      <c r="N23" s="36" t="n"/>
      <c r="O23" s="35" t="n"/>
      <c r="P23" s="35" t="n"/>
      <c r="Q23" s="36" t="n"/>
      <c r="R23" s="36" t="n"/>
    </row>
    <row r="24" ht="36" customHeight="1">
      <c r="A24" s="37">
        <f>21</f>
        <v/>
      </c>
      <c r="B24" s="38" t="n"/>
      <c r="C24" s="38" t="n"/>
      <c r="D24" s="39" t="n"/>
      <c r="E24" s="38" t="n"/>
      <c r="F24" s="39" t="n"/>
      <c r="G24" s="38" t="n"/>
      <c r="H24" s="39" t="n"/>
      <c r="I24" s="39" t="n"/>
      <c r="J24" s="39" t="n"/>
      <c r="K24" s="39" t="n"/>
      <c r="L24" s="39" t="n"/>
      <c r="M24" s="39" t="n"/>
      <c r="N24" s="39" t="n"/>
      <c r="O24" s="38" t="n"/>
      <c r="P24" s="38" t="n"/>
      <c r="Q24" s="39" t="n"/>
      <c r="R24" s="39" t="n"/>
    </row>
    <row r="25" ht="36" customHeight="1">
      <c r="A25" s="34">
        <f>22</f>
        <v/>
      </c>
      <c r="B25" s="35" t="n"/>
      <c r="C25" s="35" t="n"/>
      <c r="D25" s="36" t="n"/>
      <c r="E25" s="35" t="n"/>
      <c r="F25" s="36" t="n"/>
      <c r="G25" s="35" t="n"/>
      <c r="H25" s="36" t="n"/>
      <c r="I25" s="36" t="n"/>
      <c r="J25" s="36" t="n"/>
      <c r="K25" s="36" t="n"/>
      <c r="L25" s="36" t="n"/>
      <c r="M25" s="36" t="n"/>
      <c r="N25" s="36" t="n"/>
      <c r="O25" s="35" t="n"/>
      <c r="P25" s="35" t="n"/>
      <c r="Q25" s="36" t="n"/>
      <c r="R25" s="36" t="n"/>
    </row>
    <row r="26" ht="36" customHeight="1">
      <c r="A26" s="37">
        <f>23</f>
        <v/>
      </c>
      <c r="B26" s="38" t="n"/>
      <c r="C26" s="38" t="n"/>
      <c r="D26" s="39" t="n"/>
      <c r="E26" s="38" t="n"/>
      <c r="F26" s="39" t="n"/>
      <c r="G26" s="38" t="n"/>
      <c r="H26" s="39" t="n"/>
      <c r="I26" s="39" t="n"/>
      <c r="J26" s="39" t="n"/>
      <c r="K26" s="39" t="n"/>
      <c r="L26" s="39" t="n"/>
      <c r="M26" s="39" t="n"/>
      <c r="N26" s="39" t="n"/>
      <c r="O26" s="38" t="n"/>
      <c r="P26" s="38" t="n"/>
      <c r="Q26" s="39" t="n"/>
      <c r="R26" s="39" t="n"/>
    </row>
    <row r="27" ht="36" customHeight="1">
      <c r="A27" s="34">
        <f>24</f>
        <v/>
      </c>
      <c r="B27" s="35" t="n"/>
      <c r="C27" s="35" t="n"/>
      <c r="D27" s="36" t="n"/>
      <c r="E27" s="35" t="n"/>
      <c r="F27" s="36" t="n"/>
      <c r="G27" s="35" t="n"/>
      <c r="H27" s="36" t="n"/>
      <c r="I27" s="36" t="n"/>
      <c r="J27" s="36" t="n"/>
      <c r="K27" s="36" t="n"/>
      <c r="L27" s="36" t="n"/>
      <c r="M27" s="36" t="n"/>
      <c r="N27" s="36" t="n"/>
      <c r="O27" s="35" t="n"/>
      <c r="P27" s="35" t="n"/>
      <c r="Q27" s="36" t="n"/>
      <c r="R27" s="36" t="n"/>
    </row>
    <row r="28" ht="36" customHeight="1">
      <c r="A28" s="37">
        <f>25</f>
        <v/>
      </c>
      <c r="B28" s="38" t="n"/>
      <c r="C28" s="38" t="n"/>
      <c r="D28" s="39" t="n"/>
      <c r="E28" s="38" t="n"/>
      <c r="F28" s="39" t="n"/>
      <c r="G28" s="38" t="n"/>
      <c r="H28" s="39" t="n"/>
      <c r="I28" s="39" t="n"/>
      <c r="J28" s="39" t="n"/>
      <c r="K28" s="39" t="n"/>
      <c r="L28" s="39" t="n"/>
      <c r="M28" s="39" t="n"/>
      <c r="N28" s="39" t="n"/>
      <c r="O28" s="38" t="n"/>
      <c r="P28" s="38" t="n"/>
      <c r="Q28" s="39" t="n"/>
      <c r="R28" s="39" t="n"/>
    </row>
    <row r="29" ht="36" customHeight="1">
      <c r="A29" s="34">
        <f>26</f>
        <v/>
      </c>
      <c r="B29" s="35" t="n"/>
      <c r="C29" s="35" t="n"/>
      <c r="D29" s="36" t="n"/>
      <c r="E29" s="35" t="n"/>
      <c r="F29" s="36" t="n"/>
      <c r="G29" s="35" t="n"/>
      <c r="H29" s="36" t="n"/>
      <c r="I29" s="36" t="n"/>
      <c r="J29" s="36" t="n"/>
      <c r="K29" s="36" t="n"/>
      <c r="L29" s="36" t="n"/>
      <c r="M29" s="36" t="n"/>
      <c r="N29" s="36" t="n"/>
      <c r="O29" s="35" t="n"/>
      <c r="P29" s="35" t="n"/>
      <c r="Q29" s="36" t="n"/>
      <c r="R29" s="36" t="n"/>
    </row>
    <row r="30" ht="36" customHeight="1">
      <c r="A30" s="37">
        <f>27</f>
        <v/>
      </c>
      <c r="B30" s="38" t="n"/>
      <c r="C30" s="38" t="n"/>
      <c r="D30" s="39" t="n"/>
      <c r="E30" s="38" t="n"/>
      <c r="F30" s="39" t="n"/>
      <c r="G30" s="38" t="n"/>
      <c r="H30" s="39" t="n"/>
      <c r="I30" s="39" t="n"/>
      <c r="J30" s="39" t="n"/>
      <c r="K30" s="39" t="n"/>
      <c r="L30" s="39" t="n"/>
      <c r="M30" s="39" t="n"/>
      <c r="N30" s="39" t="n"/>
      <c r="O30" s="38" t="n"/>
      <c r="P30" s="38" t="n"/>
      <c r="Q30" s="39" t="n"/>
      <c r="R30" s="39" t="n"/>
    </row>
    <row r="31" ht="36" customHeight="1">
      <c r="A31" s="34">
        <f>28</f>
        <v/>
      </c>
      <c r="B31" s="35" t="n"/>
      <c r="C31" s="35" t="n"/>
      <c r="D31" s="36" t="n"/>
      <c r="E31" s="35" t="n"/>
      <c r="F31" s="36" t="n"/>
      <c r="G31" s="35" t="n"/>
      <c r="H31" s="36" t="n"/>
      <c r="I31" s="36" t="n"/>
      <c r="J31" s="36" t="n"/>
      <c r="K31" s="36" t="n"/>
      <c r="L31" s="36" t="n"/>
      <c r="M31" s="36" t="n"/>
      <c r="N31" s="36" t="n"/>
      <c r="O31" s="35" t="n"/>
      <c r="P31" s="35" t="n"/>
      <c r="Q31" s="36" t="n"/>
      <c r="R31" s="36" t="n"/>
    </row>
    <row r="32" ht="36" customHeight="1">
      <c r="A32" s="37">
        <f>29</f>
        <v/>
      </c>
      <c r="B32" s="38" t="n"/>
      <c r="C32" s="38" t="n"/>
      <c r="D32" s="39" t="n"/>
      <c r="E32" s="38" t="n"/>
      <c r="F32" s="39" t="n"/>
      <c r="G32" s="38" t="n"/>
      <c r="H32" s="39" t="n"/>
      <c r="I32" s="39" t="n"/>
      <c r="J32" s="39" t="n"/>
      <c r="K32" s="39" t="n"/>
      <c r="L32" s="39" t="n"/>
      <c r="M32" s="39" t="n"/>
      <c r="N32" s="39" t="n"/>
      <c r="O32" s="38" t="n"/>
      <c r="P32" s="38" t="n"/>
      <c r="Q32" s="39" t="n"/>
      <c r="R32" s="39" t="n"/>
    </row>
    <row r="33" ht="36" customHeight="1">
      <c r="A33" s="34">
        <f>30</f>
        <v/>
      </c>
      <c r="B33" s="35" t="n"/>
      <c r="C33" s="35" t="n"/>
      <c r="D33" s="36" t="n"/>
      <c r="E33" s="35" t="n"/>
      <c r="F33" s="36" t="n"/>
      <c r="G33" s="35" t="n"/>
      <c r="H33" s="36" t="n"/>
      <c r="I33" s="36" t="n"/>
      <c r="J33" s="36" t="n"/>
      <c r="K33" s="36" t="n"/>
      <c r="L33" s="36" t="n"/>
      <c r="M33" s="36" t="n"/>
      <c r="N33" s="36" t="n"/>
      <c r="O33" s="35" t="n"/>
      <c r="P33" s="35" t="n"/>
      <c r="Q33" s="36" t="n"/>
      <c r="R33" s="36" t="n"/>
    </row>
  </sheetData>
  <mergeCells count="6">
    <mergeCell ref="F2:M2"/>
    <mergeCell ref="B2:C2"/>
    <mergeCell ref="D2:E2"/>
    <mergeCell ref="P2:R2"/>
    <mergeCell ref="N2:O2"/>
    <mergeCell ref="A1:R1"/>
  </mergeCells>
  <dataValidations count="3">
    <dataValidation sqref="D4:D200" showDropDown="0" showInputMessage="0" showErrorMessage="0" allowBlank="1" type="list">
      <formula1>"Ask,Suggest,Recommend,Assist,Evaluate,Act,Monitor,Agent"</formula1>
    </dataValidation>
    <dataValidation sqref="M4:M200" showDropDown="0" showInputMessage="0" showErrorMessage="0" allowBlank="1" type="list">
      <formula1>"Yes,No,Partial,N/A"</formula1>
    </dataValidation>
    <dataValidation sqref="N4:N200" showDropDown="0" showInputMessage="0" showErrorMessage="0" allowBlank="1" type="list">
      <formula1>"🔴 Critical,🟠 High,🟡 Medium,🟢 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8" customHeight="1"/>
    <row r="2" ht="44" customHeight="1">
      <c r="B2" s="40" t="inlineStr">
        <is>
          <t>📊  AUDIT SUMMARY DASHBOARD</t>
        </is>
      </c>
    </row>
    <row r="3" ht="24" customHeight="1">
      <c r="B3" s="41" t="inlineStr">
        <is>
          <t>Manual summary — update these numbers as you complete the audit log</t>
        </is>
      </c>
    </row>
    <row r="4" ht="12" customHeight="1"/>
    <row r="5" ht="24" customHeight="1">
      <c r="B5" s="3" t="inlineStr">
        <is>
          <t>AUDIT SCORECARD</t>
        </is>
      </c>
    </row>
    <row r="6" ht="24" customHeight="1">
      <c r="B6" s="22" t="inlineStr">
        <is>
          <t>Metric</t>
        </is>
      </c>
      <c r="C6" s="22" t="inlineStr">
        <is>
          <t>Count</t>
        </is>
      </c>
      <c r="D6" s="22" t="inlineStr">
        <is>
          <t>Out of</t>
        </is>
      </c>
      <c r="E6" s="22" t="inlineStr">
        <is>
          <t>% Consistent</t>
        </is>
      </c>
      <c r="F6" s="22" t="inlineStr">
        <is>
          <t>Status</t>
        </is>
      </c>
    </row>
    <row r="7" ht="28" customHeight="1">
      <c r="B7" s="42" t="inlineStr">
        <is>
          <t>Total AI touchpoints audited</t>
        </is>
      </c>
      <c r="C7" s="43" t="inlineStr">
        <is>
          <t>—</t>
        </is>
      </c>
      <c r="D7" s="43" t="inlineStr">
        <is>
          <t>30 products</t>
        </is>
      </c>
      <c r="E7" s="43" t="inlineStr">
        <is>
          <t>—</t>
        </is>
      </c>
      <c r="F7" s="43" t="inlineStr">
        <is>
          <t>—</t>
        </is>
      </c>
    </row>
    <row r="8" ht="28" customHeight="1">
      <c r="B8" s="42" t="inlineStr">
        <is>
          <t>AI label present</t>
        </is>
      </c>
      <c r="C8" s="44" t="inlineStr">
        <is>
          <t>—</t>
        </is>
      </c>
      <c r="D8" s="44" t="inlineStr">
        <is>
          <t>—</t>
        </is>
      </c>
      <c r="E8" s="44" t="inlineStr">
        <is>
          <t>—</t>
        </is>
      </c>
      <c r="F8" s="44" t="inlineStr">
        <is>
          <t>—</t>
        </is>
      </c>
    </row>
    <row r="9" ht="28" customHeight="1">
      <c r="B9" s="42" t="inlineStr">
        <is>
          <t>Loading state present</t>
        </is>
      </c>
      <c r="C9" s="43" t="inlineStr">
        <is>
          <t>—</t>
        </is>
      </c>
      <c r="D9" s="43" t="inlineStr">
        <is>
          <t>—</t>
        </is>
      </c>
      <c r="E9" s="43" t="inlineStr">
        <is>
          <t>—</t>
        </is>
      </c>
      <c r="F9" s="43" t="inlineStr">
        <is>
          <t>—</t>
        </is>
      </c>
    </row>
    <row r="10" ht="28" customHeight="1">
      <c r="B10" s="42" t="inlineStr">
        <is>
          <t>Error state present</t>
        </is>
      </c>
      <c r="C10" s="44" t="inlineStr">
        <is>
          <t>—</t>
        </is>
      </c>
      <c r="D10" s="44" t="inlineStr">
        <is>
          <t>—</t>
        </is>
      </c>
      <c r="E10" s="44" t="inlineStr">
        <is>
          <t>—</t>
        </is>
      </c>
      <c r="F10" s="44" t="inlineStr">
        <is>
          <t>—</t>
        </is>
      </c>
    </row>
    <row r="11" ht="28" customHeight="1">
      <c r="B11" s="42" t="inlineStr">
        <is>
          <t>User correction possible</t>
        </is>
      </c>
      <c r="C11" s="43" t="inlineStr">
        <is>
          <t>—</t>
        </is>
      </c>
      <c r="D11" s="43" t="inlineStr">
        <is>
          <t>—</t>
        </is>
      </c>
      <c r="E11" s="43" t="inlineStr">
        <is>
          <t>—</t>
        </is>
      </c>
      <c r="F11" s="43" t="inlineStr">
        <is>
          <t>—</t>
        </is>
      </c>
    </row>
    <row r="12" ht="28" customHeight="1">
      <c r="B12" s="42" t="inlineStr">
        <is>
          <t>Source attribution present</t>
        </is>
      </c>
      <c r="C12" s="44" t="inlineStr">
        <is>
          <t>—</t>
        </is>
      </c>
      <c r="D12" s="44" t="inlineStr">
        <is>
          <t>—</t>
        </is>
      </c>
      <c r="E12" s="44" t="inlineStr">
        <is>
          <t>—</t>
        </is>
      </c>
      <c r="F12" s="44" t="inlineStr">
        <is>
          <t>—</t>
        </is>
      </c>
    </row>
    <row r="13" ht="28" customHeight="1">
      <c r="B13" s="42" t="inlineStr">
        <is>
          <t>Accessible (basic check)</t>
        </is>
      </c>
      <c r="C13" s="43" t="inlineStr">
        <is>
          <t>—</t>
        </is>
      </c>
      <c r="D13" s="43" t="inlineStr">
        <is>
          <t>—</t>
        </is>
      </c>
      <c r="E13" s="43" t="inlineStr">
        <is>
          <t>—</t>
        </is>
      </c>
      <c r="F13" s="43" t="inlineStr">
        <is>
          <t>—</t>
        </is>
      </c>
    </row>
    <row r="14" ht="28" customHeight="1">
      <c r="B14" s="42" t="inlineStr">
        <is>
          <t>Uses consistent AI icon/label</t>
        </is>
      </c>
      <c r="C14" s="44" t="inlineStr">
        <is>
          <t>—</t>
        </is>
      </c>
      <c r="D14" s="44" t="inlineStr">
        <is>
          <t>—</t>
        </is>
      </c>
      <c r="E14" s="44" t="inlineStr">
        <is>
          <t>—</t>
        </is>
      </c>
      <c r="F14" s="44" t="inlineStr">
        <is>
          <t>—</t>
        </is>
      </c>
    </row>
    <row r="15" ht="12" customHeight="1"/>
    <row r="16" ht="24" customHeight="1">
      <c r="B16" s="3" t="inlineStr">
        <is>
          <t>ISSUES BY SEVERITY</t>
        </is>
      </c>
    </row>
    <row r="17" ht="22" customHeight="1">
      <c r="B17" s="22" t="inlineStr">
        <is>
          <t>Severity Level</t>
        </is>
      </c>
      <c r="E17" s="22" t="inlineStr">
        <is>
          <t>Number of Issues</t>
        </is>
      </c>
    </row>
    <row r="18" ht="32" customHeight="1">
      <c r="B18" s="9" t="inlineStr">
        <is>
          <t>🔴  Critical</t>
        </is>
      </c>
      <c r="E18" s="45" t="inlineStr">
        <is>
          <t>—</t>
        </is>
      </c>
    </row>
    <row r="19" ht="32" customHeight="1">
      <c r="B19" s="11" t="inlineStr">
        <is>
          <t>🟠  High</t>
        </is>
      </c>
      <c r="E19" s="46" t="inlineStr">
        <is>
          <t>—</t>
        </is>
      </c>
    </row>
    <row r="20" ht="32" customHeight="1">
      <c r="B20" s="13" t="inlineStr">
        <is>
          <t>🟡  Medium</t>
        </is>
      </c>
      <c r="E20" s="47" t="inlineStr">
        <is>
          <t>—</t>
        </is>
      </c>
    </row>
    <row r="21" ht="32" customHeight="1">
      <c r="B21" s="15" t="inlineStr">
        <is>
          <t>🟢  Low</t>
        </is>
      </c>
      <c r="E21" s="48" t="inlineStr">
        <is>
          <t>—</t>
        </is>
      </c>
    </row>
    <row r="22" ht="12" customHeight="1"/>
    <row r="23" ht="24" customHeight="1">
      <c r="B23" s="3" t="inlineStr">
        <is>
          <t>AI TOUCHPOINTS BY MODE</t>
        </is>
      </c>
    </row>
    <row r="24" ht="22" customHeight="1">
      <c r="B24" s="22" t="inlineStr">
        <is>
          <t>Mode</t>
        </is>
      </c>
      <c r="C24" s="22" t="inlineStr">
        <is>
          <t>Count</t>
        </is>
      </c>
      <c r="D24" s="22" t="inlineStr">
        <is>
          <t>% of Total</t>
        </is>
      </c>
      <c r="E24" s="22" t="inlineStr">
        <is>
          <t>Most Common Product</t>
        </is>
      </c>
      <c r="F24" s="22" t="inlineStr">
        <is>
          <t>Consistency?</t>
        </is>
      </c>
    </row>
    <row r="25" ht="28" customHeight="1">
      <c r="B25" s="49" t="inlineStr">
        <is>
          <t>Ask</t>
        </is>
      </c>
      <c r="C25" s="50" t="inlineStr">
        <is>
          <t>—</t>
        </is>
      </c>
      <c r="D25" s="50" t="inlineStr">
        <is>
          <t>—</t>
        </is>
      </c>
      <c r="E25" s="50" t="inlineStr">
        <is>
          <t>—</t>
        </is>
      </c>
      <c r="F25" s="50" t="inlineStr">
        <is>
          <t>—</t>
        </is>
      </c>
    </row>
    <row r="26" ht="28" customHeight="1">
      <c r="B26" s="51" t="inlineStr">
        <is>
          <t>Suggest</t>
        </is>
      </c>
      <c r="C26" s="44" t="inlineStr">
        <is>
          <t>—</t>
        </is>
      </c>
      <c r="D26" s="44" t="inlineStr">
        <is>
          <t>—</t>
        </is>
      </c>
      <c r="E26" s="44" t="inlineStr">
        <is>
          <t>—</t>
        </is>
      </c>
      <c r="F26" s="44" t="inlineStr">
        <is>
          <t>—</t>
        </is>
      </c>
    </row>
    <row r="27" ht="28" customHeight="1">
      <c r="B27" s="49" t="inlineStr">
        <is>
          <t>Recommend</t>
        </is>
      </c>
      <c r="C27" s="50" t="inlineStr">
        <is>
          <t>—</t>
        </is>
      </c>
      <c r="D27" s="50" t="inlineStr">
        <is>
          <t>—</t>
        </is>
      </c>
      <c r="E27" s="50" t="inlineStr">
        <is>
          <t>—</t>
        </is>
      </c>
      <c r="F27" s="50" t="inlineStr">
        <is>
          <t>—</t>
        </is>
      </c>
    </row>
    <row r="28" ht="28" customHeight="1">
      <c r="B28" s="51" t="inlineStr">
        <is>
          <t>Assist</t>
        </is>
      </c>
      <c r="C28" s="44" t="inlineStr">
        <is>
          <t>—</t>
        </is>
      </c>
      <c r="D28" s="44" t="inlineStr">
        <is>
          <t>—</t>
        </is>
      </c>
      <c r="E28" s="44" t="inlineStr">
        <is>
          <t>—</t>
        </is>
      </c>
      <c r="F28" s="44" t="inlineStr">
        <is>
          <t>—</t>
        </is>
      </c>
    </row>
    <row r="29" ht="28" customHeight="1">
      <c r="B29" s="49" t="inlineStr">
        <is>
          <t>Evaluate</t>
        </is>
      </c>
      <c r="C29" s="50" t="inlineStr">
        <is>
          <t>—</t>
        </is>
      </c>
      <c r="D29" s="50" t="inlineStr">
        <is>
          <t>—</t>
        </is>
      </c>
      <c r="E29" s="50" t="inlineStr">
        <is>
          <t>—</t>
        </is>
      </c>
      <c r="F29" s="50" t="inlineStr">
        <is>
          <t>—</t>
        </is>
      </c>
    </row>
    <row r="30" ht="28" customHeight="1">
      <c r="B30" s="51" t="inlineStr">
        <is>
          <t>Act</t>
        </is>
      </c>
      <c r="C30" s="44" t="inlineStr">
        <is>
          <t>—</t>
        </is>
      </c>
      <c r="D30" s="44" t="inlineStr">
        <is>
          <t>—</t>
        </is>
      </c>
      <c r="E30" s="44" t="inlineStr">
        <is>
          <t>—</t>
        </is>
      </c>
      <c r="F30" s="44" t="inlineStr">
        <is>
          <t>—</t>
        </is>
      </c>
    </row>
    <row r="31" ht="28" customHeight="1">
      <c r="B31" s="49" t="inlineStr">
        <is>
          <t>Monitor</t>
        </is>
      </c>
      <c r="C31" s="50" t="inlineStr">
        <is>
          <t>—</t>
        </is>
      </c>
      <c r="D31" s="50" t="inlineStr">
        <is>
          <t>—</t>
        </is>
      </c>
      <c r="E31" s="50" t="inlineStr">
        <is>
          <t>—</t>
        </is>
      </c>
      <c r="F31" s="50" t="inlineStr">
        <is>
          <t>—</t>
        </is>
      </c>
    </row>
    <row r="32" ht="28" customHeight="1">
      <c r="B32" s="51" t="inlineStr">
        <is>
          <t>Agent</t>
        </is>
      </c>
      <c r="C32" s="44" t="inlineStr">
        <is>
          <t>—</t>
        </is>
      </c>
      <c r="D32" s="44" t="inlineStr">
        <is>
          <t>—</t>
        </is>
      </c>
      <c r="E32" s="44" t="inlineStr">
        <is>
          <t>—</t>
        </is>
      </c>
      <c r="F32" s="44" t="inlineStr">
        <is>
          <t>—</t>
        </is>
      </c>
    </row>
    <row r="33" ht="12" customHeight="1"/>
    <row r="34" ht="24" customHeight="1">
      <c r="B34" s="3" t="inlineStr">
        <is>
          <t>KEY FINDINGS — Fill in after completing the audit</t>
        </is>
      </c>
    </row>
    <row r="35" ht="36" customHeight="1">
      <c r="B35" s="42" t="inlineStr">
        <is>
          <t>Biggest inconsistency found</t>
        </is>
      </c>
      <c r="C35" s="52" t="inlineStr">
        <is>
          <t>e.g. 22 of 30 products have no AI label at all</t>
        </is>
      </c>
    </row>
    <row r="36" ht="36" customHeight="1">
      <c r="B36" s="53" t="inlineStr">
        <is>
          <t>Most common missing pattern</t>
        </is>
      </c>
      <c r="C36" s="54" t="inlineStr">
        <is>
          <t>e.g. Error states — only 4 products have them</t>
        </is>
      </c>
    </row>
    <row r="37" ht="36" customHeight="1">
      <c r="B37" s="42" t="inlineStr">
        <is>
          <t>Best implemented product</t>
        </is>
      </c>
      <c r="C37" s="52" t="inlineStr">
        <is>
          <t>e.g. HR Portal — covers 7 of 8 checklist items</t>
        </is>
      </c>
    </row>
    <row r="38" ht="36" customHeight="1">
      <c r="B38" s="53" t="inlineStr">
        <is>
          <t>Worst implemented product</t>
        </is>
      </c>
      <c r="C38" s="54" t="inlineStr">
        <is>
          <t>e.g. Procurement Tool — covers 1 of 8</t>
        </is>
      </c>
    </row>
    <row r="39" ht="36" customHeight="1">
      <c r="B39" s="42" t="inlineStr">
        <is>
          <t>Top recommendation for working group</t>
        </is>
      </c>
      <c r="C39" s="52" t="inlineStr">
        <is>
          <t>e.g. Standardise AI labelling immediately</t>
        </is>
      </c>
    </row>
  </sheetData>
  <mergeCells count="21">
    <mergeCell ref="C39:F39"/>
    <mergeCell ref="B16:F16"/>
    <mergeCell ref="B3:F3"/>
    <mergeCell ref="B17:D17"/>
    <mergeCell ref="C38:F38"/>
    <mergeCell ref="E17:F17"/>
    <mergeCell ref="C37:F37"/>
    <mergeCell ref="B19:D19"/>
    <mergeCell ref="E20:F20"/>
    <mergeCell ref="B2:F2"/>
    <mergeCell ref="E19:F19"/>
    <mergeCell ref="B23:F23"/>
    <mergeCell ref="B20:D20"/>
    <mergeCell ref="B34:F34"/>
    <mergeCell ref="C35:F35"/>
    <mergeCell ref="B5:F5"/>
    <mergeCell ref="B18:D18"/>
    <mergeCell ref="B21:D21"/>
    <mergeCell ref="E18:F18"/>
    <mergeCell ref="C36:F36"/>
    <mergeCell ref="E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14" customWidth="1" min="4" max="4"/>
    <col width="38" customWidth="1" min="5" max="5"/>
    <col width="30" customWidth="1" min="6" max="6"/>
    <col width="18" customWidth="1" min="7" max="7"/>
    <col width="16" customWidth="1" min="8" max="8"/>
    <col width="18" customWidth="1" min="9" max="9"/>
  </cols>
  <sheetData>
    <row r="1" ht="36" customHeight="1">
      <c r="A1" s="55" t="inlineStr">
        <is>
          <t>🚨  CRITICAL ISSUES — Prioritised list of problems to fix first</t>
        </is>
      </c>
    </row>
    <row r="2" ht="24" customHeight="1">
      <c r="A2" s="56" t="inlineStr">
        <is>
          <t>Copy Critical and High severity items from the Audit Log here. Use this sheet to assign ownership and track resolution.</t>
        </is>
      </c>
    </row>
    <row r="3" ht="32" customHeight="1">
      <c r="A3" s="18" t="inlineStr">
        <is>
          <t>#</t>
        </is>
      </c>
      <c r="B3" s="18" t="inlineStr">
        <is>
          <t>Product</t>
        </is>
      </c>
      <c r="C3" s="18" t="inlineStr">
        <is>
          <t>Feature</t>
        </is>
      </c>
      <c r="D3" s="18" t="inlineStr">
        <is>
          <t>Severity</t>
        </is>
      </c>
      <c r="E3" s="18" t="inlineStr">
        <is>
          <t>Issue Description</t>
        </is>
      </c>
      <c r="F3" s="18" t="inlineStr">
        <is>
          <t>Recommended Fix</t>
        </is>
      </c>
      <c r="G3" s="18" t="inlineStr">
        <is>
          <t>Owner</t>
        </is>
      </c>
      <c r="H3" s="18" t="inlineStr">
        <is>
          <t>Target Date</t>
        </is>
      </c>
      <c r="I3" s="18" t="inlineStr">
        <is>
          <t>Status</t>
        </is>
      </c>
    </row>
    <row r="4" ht="44" customHeight="1">
      <c r="A4" s="27" t="n">
        <v>1</v>
      </c>
      <c r="B4" s="24" t="inlineStr">
        <is>
          <t>Procurement Tool</t>
        </is>
      </c>
      <c r="C4" s="24" t="inlineStr">
        <is>
          <t>PO Approval Screen</t>
        </is>
      </c>
      <c r="D4" s="27" t="inlineStr">
        <is>
          <t>🔴 Critical</t>
        </is>
      </c>
      <c r="E4" s="26" t="inlineStr">
        <is>
          <t>No AI label — users cannot tell the recommendation is AI-generated. This is a trust and compliance risk.</t>
        </is>
      </c>
      <c r="F4" s="26" t="inlineStr">
        <is>
          <t>Add AI Content Badge (Pattern 3.1) immediately. Agree on shared label text with working group.</t>
        </is>
      </c>
      <c r="G4" s="25" t="inlineStr">
        <is>
          <t>Design Lead</t>
        </is>
      </c>
      <c r="H4" s="25" t="inlineStr">
        <is>
          <t>2026-04-01</t>
        </is>
      </c>
      <c r="I4" s="25" t="inlineStr">
        <is>
          <t>Not Started</t>
        </is>
      </c>
    </row>
    <row r="5" ht="44" customHeight="1">
      <c r="A5" s="27" t="n">
        <v>2</v>
      </c>
      <c r="B5" s="30" t="inlineStr">
        <is>
          <t>Procurement Tool</t>
        </is>
      </c>
      <c r="C5" s="30" t="inlineStr">
        <is>
          <t>PO Approval Screen</t>
        </is>
      </c>
      <c r="D5" s="27" t="inlineStr">
        <is>
          <t>🔴 Critical</t>
        </is>
      </c>
      <c r="E5" s="32" t="inlineStr">
        <is>
          <t>No user correction mechanism — users cannot override or reject AI recommendation.</t>
        </is>
      </c>
      <c r="F5" s="32" t="inlineStr">
        <is>
          <t>Add thumbs down + override action. Reference Pattern 5.4 (Undo AI Action).</t>
        </is>
      </c>
      <c r="G5" s="31" t="inlineStr">
        <is>
          <t>Design Lead</t>
        </is>
      </c>
      <c r="H5" s="31" t="inlineStr">
        <is>
          <t>2026-04-01</t>
        </is>
      </c>
      <c r="I5" s="31" t="inlineStr">
        <is>
          <t>Not Started</t>
        </is>
      </c>
    </row>
    <row r="6" ht="44" customHeight="1">
      <c r="A6" s="33" t="n">
        <v>3</v>
      </c>
      <c r="B6" s="24" t="inlineStr">
        <is>
          <t>Invoice Processing</t>
        </is>
      </c>
      <c r="C6" s="24" t="inlineStr">
        <is>
          <t>Invoice List View</t>
        </is>
      </c>
      <c r="D6" s="33" t="inlineStr">
        <is>
          <t>🟠 High</t>
        </is>
      </c>
      <c r="E6" s="26" t="inlineStr">
        <is>
          <t>AI label text "AI suggestion" differs from other products using "Generated by AI" and "Powered by AI".</t>
        </is>
      </c>
      <c r="F6" s="26" t="inlineStr">
        <is>
          <t>Align to agreed shared label text once working group makes the decision.</t>
        </is>
      </c>
      <c r="G6" s="25" t="inlineStr">
        <is>
          <t>[Assign]</t>
        </is>
      </c>
      <c r="H6" s="25" t="inlineStr">
        <is>
          <t>2026-04-15</t>
        </is>
      </c>
      <c r="I6" s="25" t="inlineStr">
        <is>
          <t>Not Started</t>
        </is>
      </c>
    </row>
    <row r="7" ht="36" customHeight="1">
      <c r="A7" s="34" t="n">
        <v>4</v>
      </c>
      <c r="B7" s="57" t="n"/>
      <c r="C7" s="57" t="n"/>
      <c r="D7" s="57" t="n"/>
      <c r="E7" s="57" t="n"/>
      <c r="F7" s="57" t="n"/>
      <c r="G7" s="57" t="n"/>
      <c r="H7" s="57" t="n"/>
      <c r="I7" s="57" t="n"/>
    </row>
    <row r="8" ht="36" customHeight="1">
      <c r="A8" s="37" t="n">
        <v>5</v>
      </c>
      <c r="B8" s="58" t="n"/>
      <c r="C8" s="58" t="n"/>
      <c r="D8" s="58" t="n"/>
      <c r="E8" s="58" t="n"/>
      <c r="F8" s="58" t="n"/>
      <c r="G8" s="58" t="n"/>
      <c r="H8" s="58" t="n"/>
      <c r="I8" s="58" t="n"/>
    </row>
    <row r="9" ht="36" customHeight="1">
      <c r="A9" s="34" t="n">
        <v>6</v>
      </c>
      <c r="B9" s="57" t="n"/>
      <c r="C9" s="57" t="n"/>
      <c r="D9" s="57" t="n"/>
      <c r="E9" s="57" t="n"/>
      <c r="F9" s="57" t="n"/>
      <c r="G9" s="57" t="n"/>
      <c r="H9" s="57" t="n"/>
      <c r="I9" s="57" t="n"/>
    </row>
    <row r="10" ht="36" customHeight="1">
      <c r="A10" s="37" t="n">
        <v>7</v>
      </c>
      <c r="B10" s="58" t="n"/>
      <c r="C10" s="58" t="n"/>
      <c r="D10" s="58" t="n"/>
      <c r="E10" s="58" t="n"/>
      <c r="F10" s="58" t="n"/>
      <c r="G10" s="58" t="n"/>
      <c r="H10" s="58" t="n"/>
      <c r="I10" s="58" t="n"/>
    </row>
    <row r="11" ht="36" customHeight="1">
      <c r="A11" s="34" t="n">
        <v>8</v>
      </c>
      <c r="B11" s="57" t="n"/>
      <c r="C11" s="57" t="n"/>
      <c r="D11" s="57" t="n"/>
      <c r="E11" s="57" t="n"/>
      <c r="F11" s="57" t="n"/>
      <c r="G11" s="57" t="n"/>
      <c r="H11" s="57" t="n"/>
      <c r="I11" s="57" t="n"/>
    </row>
    <row r="12" ht="36" customHeight="1">
      <c r="A12" s="37" t="n">
        <v>9</v>
      </c>
      <c r="B12" s="58" t="n"/>
      <c r="C12" s="58" t="n"/>
      <c r="D12" s="58" t="n"/>
      <c r="E12" s="58" t="n"/>
      <c r="F12" s="58" t="n"/>
      <c r="G12" s="58" t="n"/>
      <c r="H12" s="58" t="n"/>
      <c r="I12" s="58" t="n"/>
    </row>
    <row r="13" ht="36" customHeight="1">
      <c r="A13" s="34" t="n">
        <v>10</v>
      </c>
      <c r="B13" s="57" t="n"/>
      <c r="C13" s="57" t="n"/>
      <c r="D13" s="57" t="n"/>
      <c r="E13" s="57" t="n"/>
      <c r="F13" s="57" t="n"/>
      <c r="G13" s="57" t="n"/>
      <c r="H13" s="57" t="n"/>
      <c r="I13" s="57" t="n"/>
    </row>
    <row r="14" ht="36" customHeight="1">
      <c r="A14" s="37" t="n">
        <v>11</v>
      </c>
      <c r="B14" s="58" t="n"/>
      <c r="C14" s="58" t="n"/>
      <c r="D14" s="58" t="n"/>
      <c r="E14" s="58" t="n"/>
      <c r="F14" s="58" t="n"/>
      <c r="G14" s="58" t="n"/>
      <c r="H14" s="58" t="n"/>
      <c r="I14" s="58" t="n"/>
    </row>
    <row r="15" ht="36" customHeight="1">
      <c r="A15" s="34" t="n">
        <v>12</v>
      </c>
      <c r="B15" s="57" t="n"/>
      <c r="C15" s="57" t="n"/>
      <c r="D15" s="57" t="n"/>
      <c r="E15" s="57" t="n"/>
      <c r="F15" s="57" t="n"/>
      <c r="G15" s="57" t="n"/>
      <c r="H15" s="57" t="n"/>
      <c r="I15" s="57" t="n"/>
    </row>
    <row r="16" ht="36" customHeight="1">
      <c r="A16" s="37" t="n">
        <v>13</v>
      </c>
      <c r="B16" s="58" t="n"/>
      <c r="C16" s="58" t="n"/>
      <c r="D16" s="58" t="n"/>
      <c r="E16" s="58" t="n"/>
      <c r="F16" s="58" t="n"/>
      <c r="G16" s="58" t="n"/>
      <c r="H16" s="58" t="n"/>
      <c r="I16" s="58" t="n"/>
    </row>
    <row r="17" ht="36" customHeight="1">
      <c r="A17" s="34" t="n">
        <v>14</v>
      </c>
      <c r="B17" s="57" t="n"/>
      <c r="C17" s="57" t="n"/>
      <c r="D17" s="57" t="n"/>
      <c r="E17" s="57" t="n"/>
      <c r="F17" s="57" t="n"/>
      <c r="G17" s="57" t="n"/>
      <c r="H17" s="57" t="n"/>
      <c r="I17" s="57" t="n"/>
    </row>
    <row r="18" ht="36" customHeight="1">
      <c r="A18" s="37" t="n">
        <v>15</v>
      </c>
      <c r="B18" s="58" t="n"/>
      <c r="C18" s="58" t="n"/>
      <c r="D18" s="58" t="n"/>
      <c r="E18" s="58" t="n"/>
      <c r="F18" s="58" t="n"/>
      <c r="G18" s="58" t="n"/>
      <c r="H18" s="58" t="n"/>
      <c r="I18" s="58" t="n"/>
    </row>
    <row r="19" ht="36" customHeight="1">
      <c r="A19" s="34" t="n">
        <v>16</v>
      </c>
      <c r="B19" s="57" t="n"/>
      <c r="C19" s="57" t="n"/>
      <c r="D19" s="57" t="n"/>
      <c r="E19" s="57" t="n"/>
      <c r="F19" s="57" t="n"/>
      <c r="G19" s="57" t="n"/>
      <c r="H19" s="57" t="n"/>
      <c r="I19" s="57" t="n"/>
    </row>
    <row r="20" ht="36" customHeight="1">
      <c r="A20" s="37" t="n">
        <v>17</v>
      </c>
      <c r="B20" s="58" t="n"/>
      <c r="C20" s="58" t="n"/>
      <c r="D20" s="58" t="n"/>
      <c r="E20" s="58" t="n"/>
      <c r="F20" s="58" t="n"/>
      <c r="G20" s="58" t="n"/>
      <c r="H20" s="58" t="n"/>
      <c r="I20" s="58" t="n"/>
    </row>
    <row r="21" ht="36" customHeight="1">
      <c r="A21" s="34" t="n">
        <v>18</v>
      </c>
      <c r="B21" s="57" t="n"/>
      <c r="C21" s="57" t="n"/>
      <c r="D21" s="57" t="n"/>
      <c r="E21" s="57" t="n"/>
      <c r="F21" s="57" t="n"/>
      <c r="G21" s="57" t="n"/>
      <c r="H21" s="57" t="n"/>
      <c r="I21" s="57" t="n"/>
    </row>
    <row r="22" ht="36" customHeight="1">
      <c r="A22" s="37" t="n">
        <v>19</v>
      </c>
      <c r="B22" s="58" t="n"/>
      <c r="C22" s="58" t="n"/>
      <c r="D22" s="58" t="n"/>
      <c r="E22" s="58" t="n"/>
      <c r="F22" s="58" t="n"/>
      <c r="G22" s="58" t="n"/>
      <c r="H22" s="58" t="n"/>
      <c r="I22" s="58" t="n"/>
    </row>
    <row r="23" ht="36" customHeight="1">
      <c r="A23" s="34" t="n">
        <v>20</v>
      </c>
      <c r="B23" s="57" t="n"/>
      <c r="C23" s="57" t="n"/>
      <c r="D23" s="57" t="n"/>
      <c r="E23" s="57" t="n"/>
      <c r="F23" s="57" t="n"/>
      <c r="G23" s="57" t="n"/>
      <c r="H23" s="57" t="n"/>
      <c r="I23" s="57" t="n"/>
    </row>
  </sheetData>
  <mergeCells count="2">
    <mergeCell ref="A1:I1"/>
    <mergeCell ref="A2:I2"/>
  </mergeCells>
  <dataValidations count="2">
    <dataValidation sqref="I4:I100" showDropDown="0" showInputMessage="0" showErrorMessage="0" allowBlank="1" type="list">
      <formula1>"Not Started,In Progress,In Review,Done"</formula1>
    </dataValidation>
    <dataValidation sqref="D4:D100" showDropDown="0" showInputMessage="0" showErrorMessage="0" allowBlank="1" type="list">
      <formula1>"🔴 Critical,🟠 High"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5" customWidth="1" min="3" max="3"/>
    <col width="35" customWidth="1" min="4" max="4"/>
    <col width="20" customWidth="1" min="5" max="5"/>
    <col width="16" customWidth="1" min="6" max="6"/>
    <col width="18" customWidth="1" min="7" max="7"/>
  </cols>
  <sheetData>
    <row r="1" ht="36" customHeight="1">
      <c r="A1" s="59" t="inlineStr">
        <is>
          <t>📌  SHARED DECISIONS LOG — Record org-wide AI UX decisions here</t>
        </is>
      </c>
    </row>
    <row r="2" ht="24" customHeight="1">
      <c r="A2" s="60" t="inlineStr">
        <is>
          <t>Every time the working group makes a shared decision, log it here. This prevents the same debate happening 30 times.</t>
        </is>
      </c>
    </row>
    <row r="3" ht="28" customHeight="1">
      <c r="A3" s="18" t="inlineStr">
        <is>
          <t>#</t>
        </is>
      </c>
      <c r="B3" s="18" t="inlineStr">
        <is>
          <t>Decision Topic</t>
        </is>
      </c>
      <c r="C3" s="18" t="inlineStr">
        <is>
          <t>Decision Made</t>
        </is>
      </c>
      <c r="D3" s="18" t="inlineStr">
        <is>
          <t>Rationale</t>
        </is>
      </c>
      <c r="E3" s="18" t="inlineStr">
        <is>
          <t>Applies To</t>
        </is>
      </c>
      <c r="F3" s="18" t="inlineStr">
        <is>
          <t>Date</t>
        </is>
      </c>
      <c r="G3" s="18" t="inlineStr">
        <is>
          <t>Owner</t>
        </is>
      </c>
    </row>
    <row r="4" ht="44" customHeight="1">
      <c r="A4" s="61" t="n">
        <v>1</v>
      </c>
      <c r="B4" s="62" t="inlineStr">
        <is>
          <t>What do we call the AI?</t>
        </is>
      </c>
      <c r="C4" s="63" t="inlineStr">
        <is>
          <t>TBD — options: "AI", "Copilot", "Assistant", product name</t>
        </is>
      </c>
      <c r="D4" s="64" t="inlineStr">
        <is>
          <t>Consistency of name = consistency of user mental model across all 30 products</t>
        </is>
      </c>
      <c r="E4" s="65" t="inlineStr">
        <is>
          <t>All products</t>
        </is>
      </c>
      <c r="F4" s="65" t="inlineStr">
        <is>
          <t>—</t>
        </is>
      </c>
      <c r="G4" s="65" t="inlineStr">
        <is>
          <t>Working Group</t>
        </is>
      </c>
    </row>
    <row r="5" ht="44" customHeight="1">
      <c r="A5" s="23" t="n">
        <v>2</v>
      </c>
      <c r="B5" s="66" t="inlineStr">
        <is>
          <t>What icon represents AI?</t>
        </is>
      </c>
      <c r="C5" s="38" t="inlineStr">
        <is>
          <t>TBD — options: spark ✦, stars ✶, robot, custom</t>
        </is>
      </c>
      <c r="D5" s="24" t="inlineStr">
        <is>
          <t>One icon token used everywhere prevents visual fragmentation</t>
        </is>
      </c>
      <c r="E5" s="25" t="inlineStr">
        <is>
          <t>All products</t>
        </is>
      </c>
      <c r="F5" s="25" t="inlineStr">
        <is>
          <t>—</t>
        </is>
      </c>
      <c r="G5" s="25" t="inlineStr">
        <is>
          <t>Working Group</t>
        </is>
      </c>
    </row>
    <row r="6" ht="44" customHeight="1">
      <c r="A6" s="61" t="n">
        <v>3</v>
      </c>
      <c r="B6" s="62" t="inlineStr">
        <is>
          <t>Standard label text for AI content?</t>
        </is>
      </c>
      <c r="C6" s="63" t="inlineStr">
        <is>
          <t>TBD — options: "Generated by AI", "AI-drafted", "Powered by AI"</t>
        </is>
      </c>
      <c r="D6" s="64" t="inlineStr">
        <is>
          <t>Legal and compliance teams need consistent disclosure language</t>
        </is>
      </c>
      <c r="E6" s="65" t="inlineStr">
        <is>
          <t>All products</t>
        </is>
      </c>
      <c r="F6" s="65" t="inlineStr">
        <is>
          <t>—</t>
        </is>
      </c>
      <c r="G6" s="65" t="inlineStr">
        <is>
          <t>Working Group</t>
        </is>
      </c>
    </row>
    <row r="7" ht="44" customHeight="1">
      <c r="A7" s="23" t="n">
        <v>4</v>
      </c>
      <c r="B7" s="66" t="inlineStr">
        <is>
          <t>What does AI-generated mean vs AI-assisted?</t>
        </is>
      </c>
      <c r="C7" s="38" t="inlineStr">
        <is>
          <t>TBD — need to define the line between the two states</t>
        </is>
      </c>
      <c r="D7" s="24" t="inlineStr">
        <is>
          <t>These are meaningfully different and need different treatments</t>
        </is>
      </c>
      <c r="E7" s="25" t="inlineStr">
        <is>
          <t>All products</t>
        </is>
      </c>
      <c r="F7" s="25" t="inlineStr">
        <is>
          <t>—</t>
        </is>
      </c>
      <c r="G7" s="25" t="inlineStr">
        <is>
          <t>Working Group</t>
        </is>
      </c>
    </row>
    <row r="8" ht="44" customHeight="1">
      <c r="A8" s="61" t="n">
        <v>5</v>
      </c>
      <c r="B8" s="62" t="inlineStr">
        <is>
          <t>Confidence indicators — yes or no?</t>
        </is>
      </c>
      <c r="C8" s="63" t="inlineStr">
        <is>
          <t>TBD — only if engineering can provide calibrated signals</t>
        </is>
      </c>
      <c r="D8" s="64" t="inlineStr">
        <is>
          <t>False confidence scores are worse than no confidence scores</t>
        </is>
      </c>
      <c r="E8" s="65" t="inlineStr">
        <is>
          <t>All products</t>
        </is>
      </c>
      <c r="F8" s="65" t="inlineStr">
        <is>
          <t>—</t>
        </is>
      </c>
      <c r="G8" s="65" t="inlineStr">
        <is>
          <t>Working Group</t>
        </is>
      </c>
    </row>
    <row r="9" ht="36" customHeight="1">
      <c r="A9" s="34" t="n">
        <v>6</v>
      </c>
      <c r="B9" s="57" t="n"/>
      <c r="C9" s="57" t="n"/>
      <c r="D9" s="57" t="n"/>
      <c r="E9" s="57" t="n"/>
      <c r="F9" s="57" t="n"/>
      <c r="G9" s="57" t="n"/>
    </row>
    <row r="10" ht="36" customHeight="1">
      <c r="A10" s="37" t="n">
        <v>7</v>
      </c>
      <c r="B10" s="58" t="n"/>
      <c r="C10" s="58" t="n"/>
      <c r="D10" s="58" t="n"/>
      <c r="E10" s="58" t="n"/>
      <c r="F10" s="58" t="n"/>
      <c r="G10" s="58" t="n"/>
    </row>
    <row r="11" ht="36" customHeight="1">
      <c r="A11" s="34" t="n">
        <v>8</v>
      </c>
      <c r="B11" s="57" t="n"/>
      <c r="C11" s="57" t="n"/>
      <c r="D11" s="57" t="n"/>
      <c r="E11" s="57" t="n"/>
      <c r="F11" s="57" t="n"/>
      <c r="G11" s="57" t="n"/>
    </row>
    <row r="12" ht="36" customHeight="1">
      <c r="A12" s="37" t="n">
        <v>9</v>
      </c>
      <c r="B12" s="58" t="n"/>
      <c r="C12" s="58" t="n"/>
      <c r="D12" s="58" t="n"/>
      <c r="E12" s="58" t="n"/>
      <c r="F12" s="58" t="n"/>
      <c r="G12" s="58" t="n"/>
    </row>
    <row r="13" ht="36" customHeight="1">
      <c r="A13" s="34" t="n">
        <v>10</v>
      </c>
      <c r="B13" s="57" t="n"/>
      <c r="C13" s="57" t="n"/>
      <c r="D13" s="57" t="n"/>
      <c r="E13" s="57" t="n"/>
      <c r="F13" s="57" t="n"/>
      <c r="G13" s="57" t="n"/>
    </row>
    <row r="14" ht="36" customHeight="1">
      <c r="A14" s="37" t="n">
        <v>11</v>
      </c>
      <c r="B14" s="58" t="n"/>
      <c r="C14" s="58" t="n"/>
      <c r="D14" s="58" t="n"/>
      <c r="E14" s="58" t="n"/>
      <c r="F14" s="58" t="n"/>
      <c r="G14" s="58" t="n"/>
    </row>
    <row r="15" ht="36" customHeight="1">
      <c r="A15" s="34" t="n">
        <v>12</v>
      </c>
      <c r="B15" s="57" t="n"/>
      <c r="C15" s="57" t="n"/>
      <c r="D15" s="57" t="n"/>
      <c r="E15" s="57" t="n"/>
      <c r="F15" s="57" t="n"/>
      <c r="G15" s="57" t="n"/>
    </row>
    <row r="16" ht="36" customHeight="1">
      <c r="A16" s="37" t="n">
        <v>13</v>
      </c>
      <c r="B16" s="58" t="n"/>
      <c r="C16" s="58" t="n"/>
      <c r="D16" s="58" t="n"/>
      <c r="E16" s="58" t="n"/>
      <c r="F16" s="58" t="n"/>
      <c r="G16" s="58" t="n"/>
    </row>
    <row r="17" ht="36" customHeight="1">
      <c r="A17" s="34" t="n">
        <v>14</v>
      </c>
      <c r="B17" s="57" t="n"/>
      <c r="C17" s="57" t="n"/>
      <c r="D17" s="57" t="n"/>
      <c r="E17" s="57" t="n"/>
      <c r="F17" s="57" t="n"/>
      <c r="G17" s="57" t="n"/>
    </row>
    <row r="18" ht="36" customHeight="1">
      <c r="A18" s="37" t="n">
        <v>15</v>
      </c>
      <c r="B18" s="58" t="n"/>
      <c r="C18" s="58" t="n"/>
      <c r="D18" s="58" t="n"/>
      <c r="E18" s="58" t="n"/>
      <c r="F18" s="58" t="n"/>
      <c r="G18" s="58" t="n"/>
    </row>
    <row r="19" ht="36" customHeight="1">
      <c r="A19" s="34" t="n">
        <v>16</v>
      </c>
      <c r="B19" s="57" t="n"/>
      <c r="C19" s="57" t="n"/>
      <c r="D19" s="57" t="n"/>
      <c r="E19" s="57" t="n"/>
      <c r="F19" s="57" t="n"/>
      <c r="G19" s="57" t="n"/>
    </row>
    <row r="20" ht="36" customHeight="1">
      <c r="A20" s="37" t="n">
        <v>17</v>
      </c>
      <c r="B20" s="58" t="n"/>
      <c r="C20" s="58" t="n"/>
      <c r="D20" s="58" t="n"/>
      <c r="E20" s="58" t="n"/>
      <c r="F20" s="58" t="n"/>
      <c r="G20" s="58" t="n"/>
    </row>
    <row r="21" ht="36" customHeight="1">
      <c r="A21" s="34" t="n">
        <v>18</v>
      </c>
      <c r="B21" s="57" t="n"/>
      <c r="C21" s="57" t="n"/>
      <c r="D21" s="57" t="n"/>
      <c r="E21" s="57" t="n"/>
      <c r="F21" s="57" t="n"/>
      <c r="G21" s="57" t="n"/>
    </row>
    <row r="22" ht="36" customHeight="1">
      <c r="A22" s="37" t="n">
        <v>19</v>
      </c>
      <c r="B22" s="58" t="n"/>
      <c r="C22" s="58" t="n"/>
      <c r="D22" s="58" t="n"/>
      <c r="E22" s="58" t="n"/>
      <c r="F22" s="58" t="n"/>
      <c r="G22" s="58" t="n"/>
    </row>
    <row r="23" ht="36" customHeight="1">
      <c r="A23" s="34" t="n">
        <v>20</v>
      </c>
      <c r="B23" s="57" t="n"/>
      <c r="C23" s="57" t="n"/>
      <c r="D23" s="57" t="n"/>
      <c r="E23" s="57" t="n"/>
      <c r="F23" s="57" t="n"/>
      <c r="G23" s="57" t="n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2026-03-11T11:56:54Z</dcterms:created>
  <dcterms:modified xmlns:dcterms="http://purl.org/dc/terms/" xmlns:xsi="http://www.w3.org/2001/XMLSchema-instance" xsi:type="dcterms:W3CDTF">2026-03-11T11:56:54Z</dcterms:modified>
</cp:coreProperties>
</file>